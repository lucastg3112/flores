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127"/>
  <workbookPr autoCompressPictures="0"/>
  <bookViews>
    <workbookView xWindow="0" yWindow="-460" windowWidth="38400" windowHeight="21600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40" i="1" l="1"/>
  <c r="AF36" i="1"/>
  <c r="AF20" i="1"/>
  <c r="AF12" i="1"/>
  <c r="S12" i="1"/>
  <c r="B12" i="1"/>
  <c r="AB9" i="1"/>
  <c r="Y9" i="1"/>
  <c r="V9" i="1"/>
  <c r="B9" i="1"/>
  <c r="AF42" i="1"/>
</calcChain>
</file>

<file path=xl/sharedStrings.xml><?xml version="1.0" encoding="utf-8"?>
<sst xmlns="http://schemas.openxmlformats.org/spreadsheetml/2006/main" count="42" uniqueCount="33">
  <si>
    <t>DOCUMENTO EQUIVALENTE A LA</t>
  </si>
  <si>
    <t>NUMERO</t>
  </si>
  <si>
    <t>FECHA</t>
  </si>
  <si>
    <t>FACTURA DE VENTA</t>
  </si>
  <si>
    <t>A</t>
  </si>
  <si>
    <t>M</t>
  </si>
  <si>
    <t>D</t>
  </si>
  <si>
    <t>Para Personas Naturales No Comerciantes o Regimen Simplificado</t>
  </si>
  <si>
    <t>Decreto 522 de 2003, Articulo 3º</t>
  </si>
  <si>
    <t>INFORMACIÓN DE LA PERSONA NATURAL (Vendedor)</t>
  </si>
  <si>
    <t>Nombre</t>
  </si>
  <si>
    <t>CC</t>
  </si>
  <si>
    <t>NIT</t>
  </si>
  <si>
    <t>No. DE IDENTIFICACION</t>
  </si>
  <si>
    <t>DV</t>
  </si>
  <si>
    <t>Dirección</t>
  </si>
  <si>
    <t>Teléfono</t>
  </si>
  <si>
    <t>Ciudad</t>
  </si>
  <si>
    <t>INFORMACIÓN DEL COMPRADOR</t>
  </si>
  <si>
    <t>C.C.</t>
  </si>
  <si>
    <t>X</t>
  </si>
  <si>
    <t>CONCEPTO</t>
  </si>
  <si>
    <t>VALOR</t>
  </si>
  <si>
    <t>TOTAL</t>
  </si>
  <si>
    <t>FIRMA VENDEDOR O PRESTADOR DEL SERVICIO</t>
  </si>
  <si>
    <t>Menos: RTE FTE</t>
  </si>
  <si>
    <t>(</t>
  </si>
  <si>
    <t>)</t>
  </si>
  <si>
    <t>Menos: RTE ICA</t>
  </si>
  <si>
    <t>NETO A PAGAR</t>
  </si>
  <si>
    <t xml:space="preserve">FAVOR CONSIGNAR EN LA CUENTA CORRIENTE AV VILLAS </t>
  </si>
  <si>
    <t>HONORARIOS DEL MES DE FEBRERO DE 2017</t>
  </si>
  <si>
    <t>ASOCIACION MUTUAL BIENESTAR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</si>
</sst>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;@"/>
    <numFmt numFmtId="165" formatCode="_ * #,##0_ ;_ * \-#,##0_ ;_ * &quot;-&quot;_ ;_ @_ "/>
    <numFmt numFmtId="166" formatCode="0.000%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mic Sans MS"/>
      <family val="4"/>
    </font>
    <font>
      <b/>
      <i/>
      <u/>
      <sz val="7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0" fillId="0" borderId="22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26" xfId="0" applyFill="1" applyBorder="1" applyAlignment="1" applyProtection="1">
      <alignment horizontal="left" vertical="center"/>
      <protection locked="0"/>
    </xf>
    <xf numFmtId="0" fontId="0" fillId="0" borderId="2" xfId="0" applyFill="1" applyBorder="1" applyAlignment="1" applyProtection="1">
      <alignment vertical="center"/>
      <protection locked="0"/>
    </xf>
    <xf numFmtId="0" fontId="4" fillId="0" borderId="2" xfId="0" applyFont="1" applyFill="1" applyBorder="1" applyAlignment="1" applyProtection="1">
      <alignment horizontal="right" vertical="center"/>
      <protection locked="0"/>
    </xf>
    <xf numFmtId="0" fontId="4" fillId="0" borderId="3" xfId="0" applyFont="1" applyFill="1" applyBorder="1" applyAlignment="1" applyProtection="1">
      <alignment horizontal="right"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4" fillId="0" borderId="6" xfId="0" applyFont="1" applyBorder="1" applyAlignment="1" applyProtection="1">
      <alignment horizontal="right" vertical="center"/>
      <protection locked="0"/>
    </xf>
    <xf numFmtId="0" fontId="0" fillId="0" borderId="6" xfId="0" applyFill="1" applyBorder="1" applyAlignment="1" applyProtection="1">
      <alignment vertical="center"/>
      <protection locked="0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9" fontId="0" fillId="0" borderId="0" xfId="0" applyNumberFormat="1"/>
    <xf numFmtId="166" fontId="0" fillId="0" borderId="0" xfId="0" applyNumberFormat="1"/>
    <xf numFmtId="0" fontId="4" fillId="0" borderId="0" xfId="0" applyFont="1" applyBorder="1" applyAlignment="1" applyProtection="1">
      <alignment horizontal="right" vertical="center"/>
      <protection locked="0"/>
    </xf>
    <xf numFmtId="3" fontId="8" fillId="0" borderId="2" xfId="0" applyNumberFormat="1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  <xf numFmtId="0" fontId="8" fillId="0" borderId="18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right" vertical="center"/>
      <protection locked="0"/>
    </xf>
    <xf numFmtId="0" fontId="4" fillId="0" borderId="2" xfId="0" applyFont="1" applyBorder="1" applyAlignment="1" applyProtection="1">
      <alignment horizontal="right" vertical="center"/>
      <protection locked="0"/>
    </xf>
    <xf numFmtId="0" fontId="4" fillId="0" borderId="20" xfId="0" applyFont="1" applyBorder="1" applyAlignment="1" applyProtection="1">
      <alignment horizontal="right" vertical="center"/>
      <protection locked="0"/>
    </xf>
    <xf numFmtId="0" fontId="4" fillId="0" borderId="18" xfId="0" applyFont="1" applyBorder="1" applyAlignment="1" applyProtection="1">
      <alignment horizontal="right" vertical="center"/>
      <protection locked="0"/>
    </xf>
    <xf numFmtId="3" fontId="8" fillId="0" borderId="18" xfId="0" applyNumberFormat="1" applyFont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3" fontId="8" fillId="0" borderId="8" xfId="0" applyNumberFormat="1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</xf>
    <xf numFmtId="3" fontId="0" fillId="0" borderId="13" xfId="0" applyNumberForma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0" fillId="0" borderId="5" xfId="0" applyNumberFormat="1" applyBorder="1" applyAlignment="1" applyProtection="1">
      <alignment horizontal="center" vertical="center"/>
    </xf>
    <xf numFmtId="0" fontId="0" fillId="0" borderId="0" xfId="0" applyNumberFormat="1" applyBorder="1" applyAlignment="1" applyProtection="1">
      <alignment horizontal="center" vertical="center"/>
    </xf>
    <xf numFmtId="0" fontId="0" fillId="0" borderId="6" xfId="0" applyNumberFormat="1" applyBorder="1" applyAlignment="1" applyProtection="1">
      <alignment horizontal="center" vertical="center"/>
    </xf>
    <xf numFmtId="0" fontId="0" fillId="0" borderId="7" xfId="0" applyNumberFormat="1" applyBorder="1" applyAlignment="1" applyProtection="1">
      <alignment horizontal="center" vertical="center"/>
    </xf>
    <xf numFmtId="0" fontId="0" fillId="0" borderId="8" xfId="0" applyNumberFormat="1" applyBorder="1" applyAlignment="1" applyProtection="1">
      <alignment horizontal="center" vertical="center"/>
    </xf>
    <xf numFmtId="0" fontId="0" fillId="0" borderId="9" xfId="0" applyNumberFormat="1" applyBorder="1" applyAlignment="1" applyProtection="1">
      <alignment horizontal="center" vertical="center"/>
    </xf>
    <xf numFmtId="3" fontId="0" fillId="0" borderId="5" xfId="0" applyNumberFormat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0" fillId="0" borderId="19" xfId="0" applyBorder="1" applyAlignment="1" applyProtection="1">
      <alignment horizontal="center" vertical="center"/>
    </xf>
    <xf numFmtId="0" fontId="0" fillId="0" borderId="20" xfId="0" applyNumberFormat="1" applyBorder="1" applyAlignment="1" applyProtection="1">
      <alignment horizontal="center" vertical="center"/>
    </xf>
    <xf numFmtId="0" fontId="0" fillId="0" borderId="18" xfId="0" applyNumberFormat="1" applyBorder="1" applyAlignment="1" applyProtection="1">
      <alignment horizontal="center" vertical="center"/>
    </xf>
    <xf numFmtId="0" fontId="0" fillId="0" borderId="19" xfId="0" applyNumberFormat="1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 vertical="center"/>
    </xf>
    <xf numFmtId="0" fontId="0" fillId="0" borderId="21" xfId="0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  <protection locked="0"/>
    </xf>
    <xf numFmtId="165" fontId="7" fillId="2" borderId="23" xfId="0" applyNumberFormat="1" applyFont="1" applyFill="1" applyBorder="1" applyAlignment="1" applyProtection="1">
      <alignment horizontal="left" vertical="center"/>
    </xf>
    <xf numFmtId="165" fontId="7" fillId="2" borderId="24" xfId="0" applyNumberFormat="1" applyFont="1" applyFill="1" applyBorder="1" applyAlignment="1" applyProtection="1">
      <alignment horizontal="left" vertical="center"/>
    </xf>
    <xf numFmtId="165" fontId="6" fillId="2" borderId="24" xfId="0" applyNumberFormat="1" applyFont="1" applyFill="1" applyBorder="1" applyAlignment="1" applyProtection="1">
      <alignment horizontal="left" vertical="center"/>
    </xf>
    <xf numFmtId="0" fontId="1" fillId="2" borderId="24" xfId="0" applyNumberFormat="1" applyFont="1" applyFill="1" applyBorder="1" applyAlignment="1" applyProtection="1">
      <alignment horizontal="left" vertical="center"/>
    </xf>
    <xf numFmtId="0" fontId="1" fillId="2" borderId="25" xfId="0" applyNumberFormat="1" applyFont="1" applyFill="1" applyBorder="1" applyAlignment="1" applyProtection="1">
      <alignment horizontal="left" vertical="center"/>
    </xf>
    <xf numFmtId="0" fontId="0" fillId="0" borderId="13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3" fontId="0" fillId="0" borderId="0" xfId="0" applyNumberFormat="1" applyBorder="1" applyAlignment="1" applyProtection="1">
      <alignment horizontal="center" vertical="center"/>
    </xf>
    <xf numFmtId="3" fontId="0" fillId="0" borderId="6" xfId="0" applyNumberFormat="1" applyBorder="1" applyAlignment="1" applyProtection="1">
      <alignment horizontal="center" vertical="center"/>
    </xf>
    <xf numFmtId="3" fontId="0" fillId="0" borderId="7" xfId="0" applyNumberFormat="1" applyBorder="1" applyAlignment="1" applyProtection="1">
      <alignment horizontal="center" vertical="center"/>
    </xf>
    <xf numFmtId="3" fontId="0" fillId="0" borderId="8" xfId="0" applyNumberFormat="1" applyBorder="1" applyAlignment="1" applyProtection="1">
      <alignment horizontal="center" vertical="center"/>
    </xf>
    <xf numFmtId="3" fontId="0" fillId="0" borderId="9" xfId="0" applyNumberFormat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</xf>
    <xf numFmtId="164" fontId="0" fillId="0" borderId="0" xfId="0" applyNumberFormat="1" applyBorder="1" applyAlignment="1" applyProtection="1">
      <alignment horizontal="center" vertical="center"/>
    </xf>
    <xf numFmtId="164" fontId="0" fillId="0" borderId="6" xfId="0" applyNumberFormat="1" applyBorder="1" applyAlignment="1" applyProtection="1">
      <alignment horizontal="center" vertical="center"/>
    </xf>
    <xf numFmtId="164" fontId="0" fillId="0" borderId="7" xfId="0" applyNumberFormat="1" applyBorder="1" applyAlignment="1" applyProtection="1">
      <alignment horizontal="center" vertical="center"/>
    </xf>
    <xf numFmtId="164" fontId="0" fillId="0" borderId="8" xfId="0" applyNumberFormat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tejada/AppData/Local/Microsoft/Windows/Temporary%20Internet%20Files/Content.IE5/EP256JRW/GCR-DocuemtoEquivalente%20COPI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  <sheetName val="Control_Numeración"/>
      <sheetName val="Calculadora"/>
      <sheetName val="Compra"/>
      <sheetName val="Servi"/>
      <sheetName val="Arriendo"/>
      <sheetName val="Honorarios"/>
      <sheetName val="CIUU"/>
    </sheetNames>
    <sheetDataSet>
      <sheetData sheetId="0" refreshError="1">
        <row r="7">
          <cell r="C7" t="str">
            <v xml:space="preserve">LUIS CARLOS TEJADA ESTRADA </v>
          </cell>
        </row>
        <row r="8">
          <cell r="C8" t="str">
            <v>N</v>
          </cell>
          <cell r="D8">
            <v>71719212</v>
          </cell>
        </row>
        <row r="9">
          <cell r="C9" t="str">
            <v>CARRERA 50A No 37 -31</v>
          </cell>
        </row>
        <row r="10">
          <cell r="C10">
            <v>4484884</v>
          </cell>
          <cell r="F10" t="str">
            <v>BELLO</v>
          </cell>
        </row>
        <row r="16">
          <cell r="C16">
            <v>660000</v>
          </cell>
        </row>
        <row r="32">
          <cell r="C32" t="str">
            <v>MEDELLIN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AS47"/>
  <sheetViews>
    <sheetView tabSelected="1" workbookViewId="0">
      <selection activeCell="C34" sqref="C34"/>
    </sheetView>
  </sheetViews>
  <sheetFormatPr baseColWidth="10" defaultRowHeight="14" x14ac:dyDescent="0"/>
  <cols>
    <col min="1" max="1" width="10.83203125" style="2"/>
    <col min="2" max="2" width="3.1640625" style="3" customWidth="1"/>
    <col min="3" max="3" width="2.6640625" style="2" customWidth="1"/>
    <col min="4" max="4" width="3.1640625" style="2" customWidth="1"/>
    <col min="5" max="5" width="3" style="2" customWidth="1"/>
    <col min="6" max="6" width="2.6640625" style="2" customWidth="1"/>
    <col min="7" max="8" width="3.1640625" style="2" customWidth="1"/>
    <col min="9" max="9" width="2.83203125" style="2" customWidth="1"/>
    <col min="10" max="10" width="2.5" style="2" customWidth="1"/>
    <col min="11" max="11" width="2.6640625" style="2" customWidth="1"/>
    <col min="12" max="12" width="2.1640625" style="2" customWidth="1"/>
    <col min="13" max="13" width="2.5" style="2" customWidth="1"/>
    <col min="14" max="14" width="3" style="2" customWidth="1"/>
    <col min="15" max="16" width="2.33203125" style="2" customWidth="1"/>
    <col min="17" max="17" width="3" style="2" customWidth="1"/>
    <col min="18" max="18" width="2.5" style="2" customWidth="1"/>
    <col min="19" max="19" width="2.33203125" style="2" customWidth="1"/>
    <col min="20" max="20" width="2" style="2" customWidth="1"/>
    <col min="21" max="22" width="2.1640625" style="2" customWidth="1"/>
    <col min="23" max="24" width="2.5" style="2" customWidth="1"/>
    <col min="25" max="25" width="2.33203125" style="2" customWidth="1"/>
    <col min="26" max="28" width="2.5" style="2" customWidth="1"/>
    <col min="29" max="29" width="2.6640625" style="2" customWidth="1"/>
    <col min="30" max="31" width="2.5" style="2" customWidth="1"/>
    <col min="32" max="32" width="2.6640625" style="2" customWidth="1"/>
    <col min="33" max="33" width="2.83203125" style="2" customWidth="1"/>
    <col min="34" max="35" width="2.5" style="2" customWidth="1"/>
    <col min="36" max="36" width="2.6640625" style="2" customWidth="1"/>
    <col min="37" max="38" width="2.33203125" style="2" customWidth="1"/>
    <col min="39" max="39" width="1.6640625" style="2" bestFit="1" customWidth="1"/>
    <col min="40" max="40" width="3" style="2" customWidth="1"/>
  </cols>
  <sheetData>
    <row r="2" spans="1:40" ht="15">
      <c r="A2" s="1"/>
      <c r="B2" s="104" t="s">
        <v>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6"/>
      <c r="X2" s="107" t="s">
        <v>1</v>
      </c>
      <c r="Y2" s="107"/>
      <c r="Z2" s="107"/>
      <c r="AA2" s="107"/>
      <c r="AB2" s="107"/>
      <c r="AC2" s="107"/>
      <c r="AD2" s="107"/>
      <c r="AE2" s="107"/>
      <c r="AF2" s="107" t="s">
        <v>2</v>
      </c>
      <c r="AG2" s="107"/>
      <c r="AH2" s="107"/>
      <c r="AI2" s="107"/>
      <c r="AJ2" s="107"/>
      <c r="AK2" s="107"/>
      <c r="AL2" s="107"/>
      <c r="AM2" s="107"/>
      <c r="AN2" s="107"/>
    </row>
    <row r="3" spans="1:40" ht="15">
      <c r="A3" s="1"/>
      <c r="B3" s="108" t="s">
        <v>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10"/>
      <c r="X3" s="111">
        <v>11</v>
      </c>
      <c r="Y3" s="112"/>
      <c r="Z3" s="112"/>
      <c r="AA3" s="112"/>
      <c r="AB3" s="112"/>
      <c r="AC3" s="112"/>
      <c r="AD3" s="112"/>
      <c r="AE3" s="113"/>
      <c r="AF3" s="107" t="s">
        <v>4</v>
      </c>
      <c r="AG3" s="107"/>
      <c r="AH3" s="107"/>
      <c r="AI3" s="107" t="s">
        <v>5</v>
      </c>
      <c r="AJ3" s="107"/>
      <c r="AK3" s="107"/>
      <c r="AL3" s="107" t="s">
        <v>6</v>
      </c>
      <c r="AM3" s="107"/>
      <c r="AN3" s="107"/>
    </row>
    <row r="4" spans="1:40">
      <c r="B4" s="118" t="s">
        <v>7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20"/>
      <c r="X4" s="114"/>
      <c r="Y4" s="112"/>
      <c r="Z4" s="112"/>
      <c r="AA4" s="112"/>
      <c r="AB4" s="112"/>
      <c r="AC4" s="112"/>
      <c r="AD4" s="112"/>
      <c r="AE4" s="113"/>
      <c r="AF4" s="121">
        <v>42815</v>
      </c>
      <c r="AG4" s="122"/>
      <c r="AH4" s="122"/>
      <c r="AI4" s="122"/>
      <c r="AJ4" s="122"/>
      <c r="AK4" s="122"/>
      <c r="AL4" s="122"/>
      <c r="AM4" s="122"/>
      <c r="AN4" s="123"/>
    </row>
    <row r="5" spans="1:40">
      <c r="B5" s="127" t="s">
        <v>8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9"/>
      <c r="X5" s="115"/>
      <c r="Y5" s="116"/>
      <c r="Z5" s="116"/>
      <c r="AA5" s="116"/>
      <c r="AB5" s="116"/>
      <c r="AC5" s="116"/>
      <c r="AD5" s="116"/>
      <c r="AE5" s="117"/>
      <c r="AF5" s="124"/>
      <c r="AG5" s="125"/>
      <c r="AH5" s="125"/>
      <c r="AI5" s="125"/>
      <c r="AJ5" s="125"/>
      <c r="AK5" s="125"/>
      <c r="AL5" s="125"/>
      <c r="AM5" s="125"/>
      <c r="AN5" s="126"/>
    </row>
    <row r="6" spans="1:40" ht="15" thickBot="1"/>
    <row r="7" spans="1:40" ht="15" thickTop="1">
      <c r="B7" s="4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6"/>
    </row>
    <row r="8" spans="1:40">
      <c r="A8" s="7"/>
      <c r="B8" s="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95" t="s">
        <v>11</v>
      </c>
      <c r="W8" s="95"/>
      <c r="X8" s="95"/>
      <c r="Y8" s="95" t="s">
        <v>12</v>
      </c>
      <c r="Z8" s="95"/>
      <c r="AA8" s="95"/>
      <c r="AB8" s="7" t="s">
        <v>13</v>
      </c>
      <c r="AC8" s="7"/>
      <c r="AD8" s="7"/>
      <c r="AE8" s="7"/>
      <c r="AF8" s="7"/>
      <c r="AG8" s="7"/>
      <c r="AH8" s="7"/>
      <c r="AI8" s="7"/>
      <c r="AJ8" s="7"/>
      <c r="AK8" s="7"/>
      <c r="AL8" s="7"/>
      <c r="AM8" s="95" t="s">
        <v>14</v>
      </c>
      <c r="AN8" s="96"/>
    </row>
    <row r="9" spans="1:40">
      <c r="B9" s="93" t="str">
        <f>+[1]Datos!$C$7</f>
        <v xml:space="preserve">LUIS CARLOS TEJADA ESTRADA 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  <c r="V9" s="94" t="str">
        <f>+IF([1]Datos!$C$8="C","X","-")</f>
        <v>-</v>
      </c>
      <c r="W9" s="53"/>
      <c r="X9" s="54"/>
      <c r="Y9" s="94" t="str">
        <f>+IF([1]Datos!$C$8="N","X","-")</f>
        <v>X</v>
      </c>
      <c r="Z9" s="53"/>
      <c r="AA9" s="54"/>
      <c r="AB9" s="75">
        <f>+[1]Datos!$D$8</f>
        <v>71719212</v>
      </c>
      <c r="AC9" s="97"/>
      <c r="AD9" s="97"/>
      <c r="AE9" s="97"/>
      <c r="AF9" s="97"/>
      <c r="AG9" s="97"/>
      <c r="AH9" s="97"/>
      <c r="AI9" s="97"/>
      <c r="AJ9" s="97"/>
      <c r="AK9" s="97"/>
      <c r="AL9" s="98"/>
      <c r="AM9" s="58">
        <v>1</v>
      </c>
      <c r="AN9" s="102"/>
    </row>
    <row r="10" spans="1:40"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7"/>
      <c r="V10" s="77"/>
      <c r="W10" s="56"/>
      <c r="X10" s="57"/>
      <c r="Y10" s="77"/>
      <c r="Z10" s="56"/>
      <c r="AA10" s="57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1"/>
      <c r="AM10" s="61"/>
      <c r="AN10" s="103"/>
    </row>
    <row r="11" spans="1:40">
      <c r="B11" s="9" t="s">
        <v>15</v>
      </c>
      <c r="S11" s="2" t="s">
        <v>16</v>
      </c>
      <c r="AF11" s="2" t="s">
        <v>17</v>
      </c>
      <c r="AN11" s="10"/>
    </row>
    <row r="12" spans="1:40">
      <c r="B12" s="93" t="str">
        <f>+[1]Datos!$C$9</f>
        <v>CARRERA 50A No 37 -31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4"/>
      <c r="S12" s="94">
        <f>+[1]Datos!$C$10</f>
        <v>4484884</v>
      </c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4"/>
      <c r="AF12" s="94" t="str">
        <f>+[1]Datos!$F$10</f>
        <v>BELLO</v>
      </c>
      <c r="AG12" s="53"/>
      <c r="AH12" s="53"/>
      <c r="AI12" s="53"/>
      <c r="AJ12" s="53"/>
      <c r="AK12" s="53"/>
      <c r="AL12" s="53"/>
      <c r="AM12" s="53"/>
      <c r="AN12" s="76"/>
    </row>
    <row r="13" spans="1:40" ht="15" thickBot="1"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1"/>
      <c r="S13" s="85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1"/>
      <c r="AF13" s="85"/>
      <c r="AG13" s="80"/>
      <c r="AH13" s="80"/>
      <c r="AI13" s="80"/>
      <c r="AJ13" s="80"/>
      <c r="AK13" s="80"/>
      <c r="AL13" s="80"/>
      <c r="AM13" s="80"/>
      <c r="AN13" s="86"/>
    </row>
    <row r="14" spans="1:40" ht="15" thickTop="1">
      <c r="B14" s="9"/>
      <c r="AN14" s="10"/>
    </row>
    <row r="15" spans="1:40">
      <c r="B15" s="11" t="s">
        <v>18</v>
      </c>
      <c r="AN15" s="10"/>
    </row>
    <row r="16" spans="1:40">
      <c r="B16" s="8" t="s">
        <v>10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95" t="s">
        <v>19</v>
      </c>
      <c r="W16" s="95"/>
      <c r="X16" s="95"/>
      <c r="Y16" s="95" t="s">
        <v>12</v>
      </c>
      <c r="Z16" s="95"/>
      <c r="AA16" s="95"/>
      <c r="AB16" s="7" t="s">
        <v>13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95" t="s">
        <v>14</v>
      </c>
      <c r="AN16" s="96"/>
    </row>
    <row r="17" spans="2:40">
      <c r="B17" s="52" t="s">
        <v>32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  <c r="V17" s="58"/>
      <c r="W17" s="59"/>
      <c r="X17" s="60"/>
      <c r="Y17" s="63" t="s">
        <v>20</v>
      </c>
      <c r="Z17" s="64"/>
      <c r="AA17" s="65"/>
      <c r="AB17" s="69">
        <v>800189182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1"/>
      <c r="AM17" s="75">
        <v>4</v>
      </c>
      <c r="AN17" s="76"/>
    </row>
    <row r="18" spans="2:40"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7"/>
      <c r="V18" s="61"/>
      <c r="W18" s="47"/>
      <c r="X18" s="62"/>
      <c r="Y18" s="66"/>
      <c r="Z18" s="67"/>
      <c r="AA18" s="68"/>
      <c r="AB18" s="72"/>
      <c r="AC18" s="73"/>
      <c r="AD18" s="73"/>
      <c r="AE18" s="73"/>
      <c r="AF18" s="73"/>
      <c r="AG18" s="73"/>
      <c r="AH18" s="73"/>
      <c r="AI18" s="73"/>
      <c r="AJ18" s="73"/>
      <c r="AK18" s="73"/>
      <c r="AL18" s="74"/>
      <c r="AM18" s="77"/>
      <c r="AN18" s="78"/>
    </row>
    <row r="19" spans="2:40">
      <c r="B19" s="9" t="s">
        <v>15</v>
      </c>
      <c r="S19" s="2" t="s">
        <v>16</v>
      </c>
      <c r="AF19" s="2" t="s">
        <v>17</v>
      </c>
      <c r="AN19" s="10"/>
    </row>
    <row r="20" spans="2:40"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4"/>
      <c r="S20" s="69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1"/>
      <c r="AF20" s="75" t="str">
        <f>+[1]Datos!C32</f>
        <v>MEDELLIN</v>
      </c>
      <c r="AG20" s="53"/>
      <c r="AH20" s="53"/>
      <c r="AI20" s="53"/>
      <c r="AJ20" s="53"/>
      <c r="AK20" s="53"/>
      <c r="AL20" s="53"/>
      <c r="AM20" s="53"/>
      <c r="AN20" s="76"/>
    </row>
    <row r="21" spans="2:40" ht="15" thickBot="1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1"/>
      <c r="S21" s="82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4"/>
      <c r="AF21" s="85"/>
      <c r="AG21" s="80"/>
      <c r="AH21" s="80"/>
      <c r="AI21" s="80"/>
      <c r="AJ21" s="80"/>
      <c r="AK21" s="80"/>
      <c r="AL21" s="80"/>
      <c r="AM21" s="80"/>
      <c r="AN21" s="86"/>
    </row>
    <row r="22" spans="2:40" ht="15" thickTop="1">
      <c r="B22" s="9"/>
      <c r="AE22" s="12"/>
      <c r="AN22" s="10"/>
    </row>
    <row r="23" spans="2:40">
      <c r="B23" s="11" t="s">
        <v>21</v>
      </c>
      <c r="AE23" s="49" t="s">
        <v>22</v>
      </c>
      <c r="AF23" s="50"/>
      <c r="AG23" s="50"/>
      <c r="AH23" s="50"/>
      <c r="AI23" s="50"/>
      <c r="AJ23" s="50"/>
      <c r="AK23" s="50"/>
      <c r="AL23" s="50"/>
      <c r="AM23" s="50"/>
      <c r="AN23" s="87"/>
    </row>
    <row r="24" spans="2:40">
      <c r="B24" s="9"/>
      <c r="AE24" s="13"/>
      <c r="AN24" s="10"/>
    </row>
    <row r="25" spans="2:40">
      <c r="B25" s="9"/>
      <c r="AE25" s="13"/>
      <c r="AN25" s="10"/>
    </row>
    <row r="26" spans="2:40">
      <c r="B26" s="9"/>
      <c r="C26" s="88" t="s">
        <v>31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E26" s="13"/>
      <c r="AN26" s="10"/>
    </row>
    <row r="27" spans="2:40">
      <c r="B27" s="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E27" s="13"/>
      <c r="AF27" s="14"/>
      <c r="AG27" s="14"/>
      <c r="AH27" s="14"/>
      <c r="AI27" s="14"/>
      <c r="AJ27" s="14"/>
      <c r="AK27" s="14"/>
      <c r="AL27" s="14"/>
      <c r="AM27" s="14"/>
      <c r="AN27" s="10"/>
    </row>
    <row r="28" spans="2:40">
      <c r="B28" s="9"/>
      <c r="C28" s="90" t="s">
        <v>30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E28" s="13"/>
      <c r="AN28" s="10"/>
    </row>
    <row r="29" spans="2:40">
      <c r="B29" s="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E29" s="13"/>
      <c r="AF29" s="14"/>
      <c r="AG29" s="14"/>
      <c r="AH29" s="14"/>
      <c r="AI29" s="14"/>
      <c r="AJ29" s="14"/>
      <c r="AK29" s="14"/>
      <c r="AL29" s="14"/>
      <c r="AM29" s="14"/>
      <c r="AN29" s="10"/>
    </row>
    <row r="30" spans="2:40">
      <c r="B30" s="9"/>
      <c r="C30" s="91">
        <v>329002851</v>
      </c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E30" s="13"/>
      <c r="AF30" s="37">
        <v>800000</v>
      </c>
      <c r="AG30" s="37"/>
      <c r="AH30" s="37"/>
      <c r="AI30" s="37"/>
      <c r="AJ30" s="37"/>
      <c r="AK30" s="37"/>
      <c r="AL30" s="37"/>
      <c r="AM30" s="37"/>
      <c r="AN30" s="10"/>
    </row>
    <row r="31" spans="2:40">
      <c r="B31" s="9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E31" s="13"/>
      <c r="AF31" s="48"/>
      <c r="AG31" s="48"/>
      <c r="AH31" s="48"/>
      <c r="AI31" s="48"/>
      <c r="AJ31" s="48"/>
      <c r="AK31" s="48"/>
      <c r="AL31" s="48"/>
      <c r="AM31" s="48"/>
      <c r="AN31" s="10"/>
    </row>
    <row r="32" spans="2:40">
      <c r="B32" s="9"/>
      <c r="AE32" s="13"/>
      <c r="AN32" s="10"/>
    </row>
    <row r="33" spans="2:45">
      <c r="B33" s="9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E33" s="13"/>
      <c r="AF33" s="14"/>
      <c r="AG33" s="14"/>
      <c r="AH33" s="14"/>
      <c r="AI33" s="14"/>
      <c r="AJ33" s="14"/>
      <c r="AK33" s="14"/>
      <c r="AL33" s="14"/>
      <c r="AM33" s="14"/>
      <c r="AN33" s="10"/>
      <c r="AR33" s="34"/>
      <c r="AS33" s="35"/>
    </row>
    <row r="34" spans="2:45">
      <c r="B34" s="9"/>
      <c r="AE34" s="13"/>
      <c r="AN34" s="10"/>
    </row>
    <row r="35" spans="2:45"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E35" s="13"/>
      <c r="AF35" s="14"/>
      <c r="AG35" s="14"/>
      <c r="AH35" s="14"/>
      <c r="AI35" s="14"/>
      <c r="AJ35" s="14"/>
      <c r="AK35" s="14"/>
      <c r="AL35" s="14"/>
      <c r="AM35" s="14"/>
      <c r="AN35" s="10"/>
    </row>
    <row r="36" spans="2:45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9"/>
      <c r="U36" s="41" t="s">
        <v>23</v>
      </c>
      <c r="V36" s="41"/>
      <c r="W36" s="41"/>
      <c r="X36" s="41"/>
      <c r="Y36" s="41"/>
      <c r="Z36" s="41"/>
      <c r="AA36" s="41"/>
      <c r="AB36" s="41"/>
      <c r="AC36" s="41"/>
      <c r="AE36" s="13"/>
      <c r="AF36" s="37">
        <f>+AF30</f>
        <v>800000</v>
      </c>
      <c r="AG36" s="38"/>
      <c r="AH36" s="38"/>
      <c r="AI36" s="38"/>
      <c r="AJ36" s="38"/>
      <c r="AK36" s="38"/>
      <c r="AL36" s="38"/>
      <c r="AM36" s="38"/>
      <c r="AN36" s="10"/>
    </row>
    <row r="37" spans="2:45">
      <c r="B37" s="9"/>
      <c r="C37" s="20" t="s">
        <v>24</v>
      </c>
      <c r="O37" s="21"/>
      <c r="P37" s="21"/>
      <c r="Q37" s="21"/>
      <c r="R37" s="21"/>
      <c r="S37" s="21"/>
      <c r="T37" s="22"/>
      <c r="U37" s="36"/>
      <c r="V37" s="36"/>
      <c r="W37" s="36"/>
      <c r="X37" s="36"/>
      <c r="Y37" s="36"/>
      <c r="Z37" s="36"/>
      <c r="AA37" s="36"/>
      <c r="AB37" s="36"/>
      <c r="AC37" s="36"/>
      <c r="AD37" s="23"/>
      <c r="AE37" s="13"/>
      <c r="AF37" s="51"/>
      <c r="AG37" s="51"/>
      <c r="AH37" s="51"/>
      <c r="AI37" s="51"/>
      <c r="AJ37" s="51"/>
      <c r="AK37" s="51"/>
      <c r="AL37" s="51"/>
      <c r="AM37" s="51"/>
      <c r="AN37" s="10"/>
    </row>
    <row r="38" spans="2:45">
      <c r="B38" s="9"/>
      <c r="O38" s="21"/>
      <c r="P38" s="21"/>
      <c r="Q38" s="21"/>
      <c r="R38" s="21"/>
      <c r="S38" s="21"/>
      <c r="T38" s="22"/>
      <c r="U38" s="36" t="s">
        <v>25</v>
      </c>
      <c r="V38" s="36"/>
      <c r="W38" s="36"/>
      <c r="X38" s="36"/>
      <c r="Y38" s="36"/>
      <c r="Z38" s="36"/>
      <c r="AA38" s="36"/>
      <c r="AB38" s="36"/>
      <c r="AC38" s="36"/>
      <c r="AD38" s="24"/>
      <c r="AE38" s="13"/>
      <c r="AF38" s="46" t="s">
        <v>26</v>
      </c>
      <c r="AG38" s="37"/>
      <c r="AH38" s="37"/>
      <c r="AI38" s="37"/>
      <c r="AJ38" s="37"/>
      <c r="AK38" s="37"/>
      <c r="AL38" s="37"/>
      <c r="AM38" s="46" t="s">
        <v>27</v>
      </c>
      <c r="AN38" s="10"/>
    </row>
    <row r="39" spans="2:45">
      <c r="B39" s="9"/>
      <c r="O39" s="21"/>
      <c r="P39" s="21"/>
      <c r="Q39" s="21"/>
      <c r="R39" s="21"/>
      <c r="S39" s="21"/>
      <c r="T39" s="22"/>
      <c r="U39" s="36"/>
      <c r="V39" s="36"/>
      <c r="W39" s="36"/>
      <c r="X39" s="36"/>
      <c r="Y39" s="36"/>
      <c r="Z39" s="36"/>
      <c r="AA39" s="36"/>
      <c r="AB39" s="36"/>
      <c r="AC39" s="36"/>
      <c r="AE39" s="13"/>
      <c r="AF39" s="47"/>
      <c r="AG39" s="48"/>
      <c r="AH39" s="48"/>
      <c r="AI39" s="48"/>
      <c r="AJ39" s="48"/>
      <c r="AK39" s="48"/>
      <c r="AL39" s="48"/>
      <c r="AM39" s="47"/>
      <c r="AN39" s="10"/>
    </row>
    <row r="40" spans="2:45">
      <c r="B40" s="9"/>
      <c r="O40" s="21"/>
      <c r="P40" s="21"/>
      <c r="Q40" s="21"/>
      <c r="R40" s="21"/>
      <c r="S40" s="21"/>
      <c r="T40" s="22"/>
      <c r="U40" s="49" t="s">
        <v>28</v>
      </c>
      <c r="V40" s="50"/>
      <c r="W40" s="50"/>
      <c r="X40" s="50"/>
      <c r="Y40" s="50"/>
      <c r="Z40" s="50"/>
      <c r="AA40" s="50"/>
      <c r="AB40" s="50"/>
      <c r="AC40" s="50"/>
      <c r="AE40" s="13"/>
      <c r="AF40" s="46" t="s">
        <v>26</v>
      </c>
      <c r="AG40" s="37">
        <f>+IF( [1]Datos!F10="Bogotá",+IF([1]Datos!$C$16&gt;101000,AF30/1000,0),0)</f>
        <v>0</v>
      </c>
      <c r="AH40" s="37"/>
      <c r="AI40" s="37"/>
      <c r="AJ40" s="37"/>
      <c r="AK40" s="37"/>
      <c r="AL40" s="37"/>
      <c r="AM40" s="46" t="s">
        <v>27</v>
      </c>
      <c r="AN40" s="10"/>
    </row>
    <row r="41" spans="2:45">
      <c r="B41" s="9"/>
      <c r="O41" s="21"/>
      <c r="P41" s="21"/>
      <c r="Q41" s="21"/>
      <c r="R41" s="21"/>
      <c r="S41" s="21"/>
      <c r="T41" s="22"/>
      <c r="U41" s="49"/>
      <c r="V41" s="50"/>
      <c r="W41" s="50"/>
      <c r="X41" s="50"/>
      <c r="Y41" s="50"/>
      <c r="Z41" s="50"/>
      <c r="AA41" s="50"/>
      <c r="AB41" s="50"/>
      <c r="AC41" s="50"/>
      <c r="AE41" s="13"/>
      <c r="AF41" s="47"/>
      <c r="AG41" s="48"/>
      <c r="AH41" s="48"/>
      <c r="AI41" s="48"/>
      <c r="AJ41" s="48"/>
      <c r="AK41" s="48"/>
      <c r="AL41" s="48"/>
      <c r="AM41" s="47"/>
      <c r="AN41" s="10"/>
    </row>
    <row r="42" spans="2:45">
      <c r="B42" s="9"/>
      <c r="O42" s="21"/>
      <c r="P42" s="21"/>
      <c r="Q42" s="21"/>
      <c r="R42" s="21"/>
      <c r="S42" s="21"/>
      <c r="T42" s="22"/>
      <c r="U42" s="36" t="s">
        <v>29</v>
      </c>
      <c r="V42" s="36"/>
      <c r="W42" s="36"/>
      <c r="X42" s="36"/>
      <c r="Y42" s="36"/>
      <c r="Z42" s="36"/>
      <c r="AA42" s="36"/>
      <c r="AB42" s="36"/>
      <c r="AC42" s="36"/>
      <c r="AE42" s="13"/>
      <c r="AF42" s="37">
        <f>+AF36-AG38-AG40</f>
        <v>800000</v>
      </c>
      <c r="AG42" s="38"/>
      <c r="AH42" s="38"/>
      <c r="AI42" s="38"/>
      <c r="AJ42" s="38"/>
      <c r="AK42" s="38"/>
      <c r="AL42" s="38"/>
      <c r="AM42" s="38"/>
      <c r="AN42" s="10"/>
    </row>
    <row r="43" spans="2:45" ht="15" thickBot="1">
      <c r="B43" s="9"/>
      <c r="O43" s="21"/>
      <c r="P43" s="21"/>
      <c r="Q43" s="21"/>
      <c r="R43" s="21"/>
      <c r="S43" s="21"/>
      <c r="T43" s="22"/>
      <c r="U43" s="36"/>
      <c r="V43" s="36"/>
      <c r="W43" s="36"/>
      <c r="X43" s="36"/>
      <c r="Y43" s="36"/>
      <c r="Z43" s="36"/>
      <c r="AA43" s="36"/>
      <c r="AB43" s="36"/>
      <c r="AC43" s="36"/>
      <c r="AE43" s="13"/>
      <c r="AF43" s="39"/>
      <c r="AG43" s="39"/>
      <c r="AH43" s="39"/>
      <c r="AI43" s="39"/>
      <c r="AJ43" s="39"/>
      <c r="AK43" s="39"/>
      <c r="AL43" s="39"/>
      <c r="AM43" s="39"/>
      <c r="AN43" s="10"/>
    </row>
    <row r="44" spans="2:45" ht="15" thickTop="1">
      <c r="B44" s="9"/>
      <c r="T44" s="25"/>
      <c r="AE44" s="13"/>
      <c r="AN44" s="10"/>
    </row>
    <row r="45" spans="2:45">
      <c r="B45" s="9"/>
      <c r="T45" s="25"/>
      <c r="U45" s="40"/>
      <c r="V45" s="41"/>
      <c r="W45" s="41"/>
      <c r="X45" s="41"/>
      <c r="Y45" s="41"/>
      <c r="Z45" s="41"/>
      <c r="AA45" s="41"/>
      <c r="AB45" s="41"/>
      <c r="AC45" s="41"/>
      <c r="AD45" s="26"/>
      <c r="AE45" s="27"/>
      <c r="AF45" s="37"/>
      <c r="AG45" s="37"/>
      <c r="AH45" s="37"/>
      <c r="AI45" s="37"/>
      <c r="AJ45" s="37"/>
      <c r="AK45" s="37"/>
      <c r="AL45" s="37"/>
      <c r="AM45" s="37"/>
      <c r="AN45" s="28"/>
    </row>
    <row r="46" spans="2:45" ht="15" thickBot="1"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1"/>
      <c r="U46" s="42"/>
      <c r="V46" s="43"/>
      <c r="W46" s="43"/>
      <c r="X46" s="43"/>
      <c r="Y46" s="43"/>
      <c r="Z46" s="43"/>
      <c r="AA46" s="43"/>
      <c r="AB46" s="43"/>
      <c r="AC46" s="43"/>
      <c r="AD46" s="30"/>
      <c r="AE46" s="32"/>
      <c r="AF46" s="44"/>
      <c r="AG46" s="44"/>
      <c r="AH46" s="44"/>
      <c r="AI46" s="44"/>
      <c r="AJ46" s="44"/>
      <c r="AK46" s="44"/>
      <c r="AL46" s="44"/>
      <c r="AM46" s="44"/>
      <c r="AN46" s="33"/>
    </row>
    <row r="47" spans="2:45" ht="15" thickTop="1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</row>
  </sheetData>
  <mergeCells count="53">
    <mergeCell ref="B2:W2"/>
    <mergeCell ref="X2:AE2"/>
    <mergeCell ref="AF2:AN2"/>
    <mergeCell ref="B3:W3"/>
    <mergeCell ref="X3:AE5"/>
    <mergeCell ref="AF3:AH3"/>
    <mergeCell ref="AI3:AK3"/>
    <mergeCell ref="AL3:AN3"/>
    <mergeCell ref="B4:W4"/>
    <mergeCell ref="AF4:AN5"/>
    <mergeCell ref="B5:W5"/>
    <mergeCell ref="V8:X8"/>
    <mergeCell ref="Y8:AA8"/>
    <mergeCell ref="AM8:AN8"/>
    <mergeCell ref="B9:U10"/>
    <mergeCell ref="V9:X10"/>
    <mergeCell ref="Y9:AA10"/>
    <mergeCell ref="AB9:AL10"/>
    <mergeCell ref="AM9:AN10"/>
    <mergeCell ref="B12:R13"/>
    <mergeCell ref="S12:AE13"/>
    <mergeCell ref="AF12:AN13"/>
    <mergeCell ref="V16:X16"/>
    <mergeCell ref="Y16:AA16"/>
    <mergeCell ref="AM16:AN16"/>
    <mergeCell ref="U36:AC37"/>
    <mergeCell ref="AF36:AM37"/>
    <mergeCell ref="B17:U18"/>
    <mergeCell ref="V17:X18"/>
    <mergeCell ref="Y17:AA18"/>
    <mergeCell ref="AB17:AL18"/>
    <mergeCell ref="AM17:AN18"/>
    <mergeCell ref="B20:R21"/>
    <mergeCell ref="S20:AE21"/>
    <mergeCell ref="AF20:AN21"/>
    <mergeCell ref="AE23:AN23"/>
    <mergeCell ref="C26:AC27"/>
    <mergeCell ref="C28:AC29"/>
    <mergeCell ref="C30:AC31"/>
    <mergeCell ref="AF30:AM31"/>
    <mergeCell ref="U38:AC39"/>
    <mergeCell ref="AF38:AF39"/>
    <mergeCell ref="AG38:AL39"/>
    <mergeCell ref="AM38:AM39"/>
    <mergeCell ref="U40:AC41"/>
    <mergeCell ref="AF40:AF41"/>
    <mergeCell ref="AG40:AL41"/>
    <mergeCell ref="AM40:AM41"/>
    <mergeCell ref="U42:AC43"/>
    <mergeCell ref="AF42:AM43"/>
    <mergeCell ref="U45:AC46"/>
    <mergeCell ref="AF45:AM46"/>
    <mergeCell ref="B47:AN47"/>
  </mergeCells>
  <pageMargins left="0.25" right="0.25" top="0.75" bottom="0.75" header="0.3" footer="0.3"/>
  <pageSetup paperSize="9" scale="58" fitToHeight="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Tejada Estrada</dc:creator>
  <cp:lastModifiedBy>coopantex</cp:lastModifiedBy>
  <cp:lastPrinted>2016-04-19T13:45:38Z</cp:lastPrinted>
  <dcterms:created xsi:type="dcterms:W3CDTF">2012-10-30T19:39:01Z</dcterms:created>
  <dcterms:modified xsi:type="dcterms:W3CDTF">2017-04-25T21:37:07Z</dcterms:modified>
</cp:coreProperties>
</file>